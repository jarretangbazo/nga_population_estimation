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arretangbazo/nga_population_estimation/estimation/quick_estimation/outputs/"/>
    </mc:Choice>
  </mc:AlternateContent>
  <xr:revisionPtr revIDLastSave="0" documentId="13_ncr:1_{5F5341F9-6DD8-EE46-8BA9-431026DF46EE}" xr6:coauthVersionLast="47" xr6:coauthVersionMax="47" xr10:uidLastSave="{00000000-0000-0000-0000-000000000000}"/>
  <bookViews>
    <workbookView xWindow="0" yWindow="680" windowWidth="26420" windowHeight="16320" tabRatio="500" xr2:uid="{00000000-000D-0000-FFFF-FFFF00000000}"/>
  </bookViews>
  <sheets>
    <sheet name="Assumptions" sheetId="1" r:id="rId1"/>
    <sheet name="LGA Projections" sheetId="2" r:id="rId2"/>
    <sheet name="Badagry Focu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3" l="1"/>
  <c r="E25" i="3"/>
  <c r="E23" i="3"/>
  <c r="E22" i="3"/>
  <c r="E21" i="3"/>
  <c r="E20" i="3"/>
  <c r="E19" i="3"/>
  <c r="E18" i="3"/>
  <c r="D14" i="3"/>
  <c r="C14" i="3"/>
  <c r="B14" i="3"/>
  <c r="D8" i="3"/>
  <c r="D7" i="3"/>
  <c r="D6" i="3"/>
  <c r="C8" i="3"/>
  <c r="C6" i="3"/>
  <c r="B7" i="3"/>
  <c r="C7" i="3"/>
  <c r="B8" i="3"/>
  <c r="B6" i="3"/>
  <c r="O14" i="2"/>
  <c r="O15" i="2"/>
  <c r="O16" i="2"/>
  <c r="P5" i="2"/>
  <c r="N6" i="2"/>
  <c r="Q6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Q21" i="2" s="1"/>
  <c r="N22" i="2"/>
  <c r="Q22" i="2" s="1"/>
  <c r="N23" i="2"/>
  <c r="Q23" i="2" s="1"/>
  <c r="N24" i="2"/>
  <c r="Q24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N5" i="2"/>
  <c r="Q5" i="2" s="1"/>
  <c r="M5" i="2"/>
  <c r="M25" i="2" s="1"/>
  <c r="L5" i="2"/>
  <c r="K6" i="2"/>
  <c r="P6" i="2" s="1"/>
  <c r="K7" i="2"/>
  <c r="P7" i="2" s="1"/>
  <c r="K8" i="2"/>
  <c r="P8" i="2" s="1"/>
  <c r="K9" i="2"/>
  <c r="P9" i="2" s="1"/>
  <c r="K10" i="2"/>
  <c r="P10" i="2" s="1"/>
  <c r="K11" i="2"/>
  <c r="P11" i="2" s="1"/>
  <c r="K12" i="2"/>
  <c r="P12" i="2" s="1"/>
  <c r="K13" i="2"/>
  <c r="P13" i="2" s="1"/>
  <c r="K14" i="2"/>
  <c r="P14" i="2" s="1"/>
  <c r="K15" i="2"/>
  <c r="P15" i="2" s="1"/>
  <c r="K16" i="2"/>
  <c r="P16" i="2" s="1"/>
  <c r="K17" i="2"/>
  <c r="P17" i="2" s="1"/>
  <c r="K18" i="2"/>
  <c r="P18" i="2" s="1"/>
  <c r="K19" i="2"/>
  <c r="P19" i="2" s="1"/>
  <c r="K20" i="2"/>
  <c r="P20" i="2" s="1"/>
  <c r="K21" i="2"/>
  <c r="P21" i="2" s="1"/>
  <c r="K22" i="2"/>
  <c r="P22" i="2" s="1"/>
  <c r="K23" i="2"/>
  <c r="P23" i="2" s="1"/>
  <c r="K24" i="2"/>
  <c r="P24" i="2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K5" i="2"/>
  <c r="J5" i="2"/>
  <c r="I5" i="2"/>
  <c r="H15" i="2"/>
  <c r="H7" i="2"/>
  <c r="O7" i="2" s="1"/>
  <c r="H8" i="2"/>
  <c r="O8" i="2" s="1"/>
  <c r="H9" i="2"/>
  <c r="O9" i="2" s="1"/>
  <c r="H10" i="2"/>
  <c r="O10" i="2" s="1"/>
  <c r="H11" i="2"/>
  <c r="O11" i="2" s="1"/>
  <c r="H12" i="2"/>
  <c r="O12" i="2" s="1"/>
  <c r="H13" i="2"/>
  <c r="O13" i="2" s="1"/>
  <c r="H14" i="2"/>
  <c r="H16" i="2"/>
  <c r="H17" i="2"/>
  <c r="O17" i="2" s="1"/>
  <c r="H18" i="2"/>
  <c r="O18" i="2" s="1"/>
  <c r="H19" i="2"/>
  <c r="O19" i="2" s="1"/>
  <c r="H20" i="2"/>
  <c r="O20" i="2" s="1"/>
  <c r="H21" i="2"/>
  <c r="O21" i="2" s="1"/>
  <c r="H22" i="2"/>
  <c r="O22" i="2" s="1"/>
  <c r="H23" i="2"/>
  <c r="O23" i="2" s="1"/>
  <c r="H24" i="2"/>
  <c r="O24" i="2" s="1"/>
  <c r="H5" i="2"/>
  <c r="O5" i="2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5" i="2"/>
  <c r="E25" i="2"/>
  <c r="N25" i="2" l="1"/>
  <c r="N26" i="2" s="1"/>
  <c r="L25" i="2"/>
  <c r="K25" i="2"/>
  <c r="K26" i="2" s="1"/>
  <c r="J25" i="2"/>
  <c r="I25" i="2"/>
  <c r="H6" i="2"/>
  <c r="O6" i="2" s="1"/>
  <c r="G25" i="2"/>
  <c r="F25" i="2"/>
  <c r="H25" i="2" l="1"/>
  <c r="H26" i="2" s="1"/>
</calcChain>
</file>

<file path=xl/sharedStrings.xml><?xml version="1.0" encoding="utf-8"?>
<sst xmlns="http://schemas.openxmlformats.org/spreadsheetml/2006/main" count="158" uniqueCount="122">
  <si>
    <t>Population Projection — Scenario Assumptions</t>
  </si>
  <si>
    <t>Rate Assumptions</t>
  </si>
  <si>
    <t>Parameter</t>
  </si>
  <si>
    <t>Value</t>
  </si>
  <si>
    <t>Rationale / Source</t>
  </si>
  <si>
    <t>Low scenario rate</t>
  </si>
  <si>
    <t>Central scenario rate</t>
  </si>
  <si>
    <t>High scenario rate</t>
  </si>
  <si>
    <t>Model Parameters</t>
  </si>
  <si>
    <t>Notes</t>
  </si>
  <si>
    <t>Base year</t>
  </si>
  <si>
    <t>2022</t>
  </si>
  <si>
    <t>Projection years</t>
  </si>
  <si>
    <t>2023–2025</t>
  </si>
  <si>
    <t>n = 1, 2, 3 years beyond base year.</t>
  </si>
  <si>
    <t>Formula</t>
  </si>
  <si>
    <t>P(2022) × (1+r)^n</t>
  </si>
  <si>
    <t>Rounding</t>
  </si>
  <si>
    <t>Nearest 100</t>
  </si>
  <si>
    <t>Matches precision of source data. Avoids false precision given uncertainty in base figures.</t>
  </si>
  <si>
    <t>Constituency split</t>
  </si>
  <si>
    <t>50 / 50</t>
  </si>
  <si>
    <t>Four LGAs with 2 constituencies each (Lagos Island, Mushin, Oshodi-Isolo, Surulere) are split equally. Actual INEC ward-level boundary data unavailable.</t>
  </si>
  <si>
    <t>Badagry area</t>
  </si>
  <si>
    <t>441 km²</t>
  </si>
  <si>
    <t>For context in representational analysis. Source: Lagos State Lands Bureau.</t>
  </si>
  <si>
    <t>Lagos State LGA Population Projections — Low / Central / High Scenarios (2022–2025)</t>
  </si>
  <si>
    <t>2022 Base</t>
  </si>
  <si>
    <t>2025 POPULATION PER CONSTITUENCY</t>
  </si>
  <si>
    <t>#</t>
  </si>
  <si>
    <t>LGA</t>
  </si>
  <si>
    <t>Federal Constituency/ies</t>
  </si>
  <si>
    <t>Seats</t>
  </si>
  <si>
    <t>2022 Pop.</t>
  </si>
  <si>
    <t>2023</t>
  </si>
  <si>
    <t>2024</t>
  </si>
  <si>
    <t>2025</t>
  </si>
  <si>
    <t>Low</t>
  </si>
  <si>
    <t>Central</t>
  </si>
  <si>
    <t>High</t>
  </si>
  <si>
    <t>Alimosho</t>
  </si>
  <si>
    <t>Ajeromi-Ifelodun</t>
  </si>
  <si>
    <t>Kosofe</t>
  </si>
  <si>
    <t>Mushin</t>
  </si>
  <si>
    <t>Mushin I &amp; II</t>
  </si>
  <si>
    <t>Oshodi-Isolo</t>
  </si>
  <si>
    <t>Oshodi-Isolo I &amp; II</t>
  </si>
  <si>
    <t>Ojo</t>
  </si>
  <si>
    <t>Ikorodu</t>
  </si>
  <si>
    <t>Surulere</t>
  </si>
  <si>
    <t>Surulere I &amp; II</t>
  </si>
  <si>
    <t>Agege</t>
  </si>
  <si>
    <t>Ifako-Ijaye</t>
  </si>
  <si>
    <t>Ifako-Ijaiye</t>
  </si>
  <si>
    <t>Shomolu</t>
  </si>
  <si>
    <t>Somolu</t>
  </si>
  <si>
    <t>Amuwo-Odofin</t>
  </si>
  <si>
    <t>Lagos Mainland</t>
  </si>
  <si>
    <t>Ikeja</t>
  </si>
  <si>
    <t>Eti-Osa</t>
  </si>
  <si>
    <t>Badagry</t>
  </si>
  <si>
    <t>Apapa</t>
  </si>
  <si>
    <t>Lagos Island</t>
  </si>
  <si>
    <t>Lagos Island I &amp; II</t>
  </si>
  <si>
    <t>Epe</t>
  </si>
  <si>
    <t>Ibeju/Lekki</t>
  </si>
  <si>
    <t>Ibeju-Lekki</t>
  </si>
  <si>
    <t>TOTAL (state)</t>
  </si>
  <si>
    <t>Avg per constituency (24 seats)</t>
  </si>
  <si>
    <t>Badagry Federal Constituency — Population Scenario Analysis</t>
  </si>
  <si>
    <t>Section 1 — Badagry Population by Year and Scenario</t>
  </si>
  <si>
    <t>Year</t>
  </si>
  <si>
    <t>Year 1 projection</t>
  </si>
  <si>
    <t>Year 2 projection</t>
  </si>
  <si>
    <t>Section 2 — Badagry vs Lagos Constituency Average (2025 estimates)</t>
  </si>
  <si>
    <t>Metric</t>
  </si>
  <si>
    <t>Low Scenario</t>
  </si>
  <si>
    <t>Central Scenario</t>
  </si>
  <si>
    <t>High Scenario</t>
  </si>
  <si>
    <t>Significance</t>
  </si>
  <si>
    <t>Badagry 2025 population</t>
  </si>
  <si>
    <t>Single federal constituency, population estimates</t>
  </si>
  <si>
    <t>Lagos state avg per constituency</t>
  </si>
  <si>
    <t>State total ÷ 24 constituencies</t>
  </si>
  <si>
    <t>Badagry as % of state avg</t>
  </si>
  <si>
    <t>Constituency / LGA</t>
  </si>
  <si>
    <t>Parent LGA</t>
  </si>
  <si>
    <t>Area (km²)</t>
  </si>
  <si>
    <t>2025 Pop (Central)</t>
  </si>
  <si>
    <t>Pop per km²</t>
  </si>
  <si>
    <t>Surulere I (est.)</t>
  </si>
  <si>
    <t>Lagos Island I (est.)</t>
  </si>
  <si>
    <t>Population estimates from www.citypopulation.de. All 20 Lagos State LGAs included.</t>
  </si>
  <si>
    <t>Growth Rate Assumptions</t>
  </si>
  <si>
    <t>LOW</t>
  </si>
  <si>
    <t>CENTRAL</t>
  </si>
  <si>
    <t>HIGH</t>
  </si>
  <si>
    <t>2.46% p.a. — Conservative floor from (https://www.CityPopulation.de). Consistent with lower-bound UN World Urbanisation Prospects 2024 metro-area growth estimates.</t>
  </si>
  <si>
    <t>6.0% p.a. — Upper bound. Drawn from UN Environment Programme (https://www.unep.org/nigeria-0) and reflects high inward migration and peri-urban expansion (Ibeju-Lekki corridor, Ikorodu, Epe).</t>
  </si>
  <si>
    <t>Source: CityPopulation.de · Lagos SDG/NBS/UN WUP 2024 · UN Environment Programme</t>
  </si>
  <si>
    <t>3.2% p.a. — Central growth rate derived from (https://lagossdg.com/glance-lagos/) and World Bank - Lagos Platform for Development and consistent with UN World Urbanisation Prospects 2024 metro-area growth estimates.</t>
  </si>
  <si>
    <t>Comparing Badagry's estimated 2025 population against the Lagos State constituency average and the four split constituencies (Mushin, Oshodi-Isolo, Surulere, and Lagos Island).</t>
  </si>
  <si>
    <t>Low (2.5%)</t>
  </si>
  <si>
    <t>Central (3.2%)</t>
  </si>
  <si>
    <t>High (6.0%)</t>
  </si>
  <si>
    <t>Year 3 projection</t>
  </si>
  <si>
    <t>Section 3 — Comparison Constituencies (using central rate)</t>
  </si>
  <si>
    <t>The population of Badagry is 62.6% of the average constituency</t>
  </si>
  <si>
    <t>Alimosho is the largest Constituency/LGA by population</t>
  </si>
  <si>
    <t>Mushin I (est.)</t>
  </si>
  <si>
    <t>Oshodi-Isolo I (est.)</t>
  </si>
  <si>
    <t>Lagos Island has a lower population than Badagry but is split into two federal constituencies</t>
  </si>
  <si>
    <t>Oshodi-Isolo is split into two federal constituencies</t>
  </si>
  <si>
    <t>Mushin is split into two federal constituencies</t>
  </si>
  <si>
    <t>Epe is provided for comparison as a large (in size) LGA</t>
  </si>
  <si>
    <t>Surulere is split into two federal constituencies</t>
  </si>
  <si>
    <t>LOW SCENARIO (2.5% p.a.)</t>
  </si>
  <si>
    <t>CENTRAL SCENARIO (3.2% p.a.)</t>
  </si>
  <si>
    <t>HIGH SCENARIO (6.0% p.a.)</t>
  </si>
  <si>
    <t>Base year 2022 population estimates from CityPopulation.de · Low = 2.5% p.a. (CityPopulation.de)  | Central = 3.2% p.a. (Lagos SDG and World Bank) | High = 6.0% p.a. (UNEP)   · Formula: P(2022) × (1 + r)^n   · Figures rounded to nearest 100   · Badagry highlighted in yellow</t>
  </si>
  <si>
    <t>Our LGA of interest</t>
  </si>
  <si>
    <t>Standard compound growth. r = growth rate, n = years since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</si>
</sst>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75" formatCode="_(* #,##0_);_(* \(#,##0\);_(* &quot;-&quot;??_);_(@_)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833C0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F3864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2F7"/>
        <bgColor rgb="FFEAF4FB"/>
      </patternFill>
    </fill>
    <fill>
      <patternFill patternType="solid">
        <fgColor rgb="FF2E75B6"/>
        <bgColor rgb="FF4F81BD"/>
      </patternFill>
    </fill>
    <fill>
      <patternFill patternType="solid">
        <fgColor rgb="FFEAF4FB"/>
        <bgColor rgb="FFEEF2F7"/>
      </patternFill>
    </fill>
    <fill>
      <patternFill patternType="solid">
        <fgColor rgb="FFEBF5E1"/>
        <bgColor rgb="FFEEF2F7"/>
      </patternFill>
    </fill>
    <fill>
      <patternFill patternType="solid">
        <fgColor rgb="FFFCE9D9"/>
        <bgColor rgb="FFFFF2CC"/>
      </patternFill>
    </fill>
    <fill>
      <patternFill patternType="solid">
        <fgColor rgb="FFF4F6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C05A1E"/>
        <bgColor rgb="FFC0504D"/>
      </patternFill>
    </fill>
    <fill>
      <patternFill patternType="solid">
        <fgColor rgb="FFFFF2CC"/>
        <bgColor rgb="FFFCE9D9"/>
      </patternFill>
    </fill>
    <fill>
      <patternFill patternType="solid">
        <fgColor rgb="FFE9EFF7"/>
        <bgColor rgb="FFEEF2F7"/>
      </patternFill>
    </fill>
    <fill>
      <patternFill patternType="solid">
        <fgColor rgb="FFFFF3CC"/>
        <bgColor rgb="FFF9F9F9"/>
      </patternFill>
    </fill>
    <fill>
      <patternFill patternType="solid">
        <fgColor rgb="FFFFF3CC"/>
        <bgColor rgb="FFFCE9D9"/>
      </patternFill>
    </fill>
    <fill>
      <patternFill patternType="solid">
        <fgColor rgb="FFFFF3CC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4F7FB"/>
        <bgColor rgb="FFF9F9F9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7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3" fontId="12" fillId="9" borderId="2" xfId="0" applyNumberFormat="1" applyFont="1" applyFill="1" applyBorder="1" applyAlignment="1">
      <alignment horizontal="right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3" fontId="13" fillId="12" borderId="2" xfId="0" applyNumberFormat="1" applyFont="1" applyFill="1" applyBorder="1" applyAlignment="1">
      <alignment horizontal="right" vertical="center"/>
    </xf>
    <xf numFmtId="0" fontId="13" fillId="13" borderId="2" xfId="0" applyFont="1" applyFill="1" applyBorder="1" applyAlignment="1">
      <alignment horizontal="left" vertical="center"/>
    </xf>
    <xf numFmtId="3" fontId="13" fillId="13" borderId="2" xfId="0" applyNumberFormat="1" applyFont="1" applyFill="1" applyBorder="1" applyAlignment="1">
      <alignment horizontal="right" vertical="center"/>
    </xf>
    <xf numFmtId="0" fontId="14" fillId="13" borderId="2" xfId="0" applyFont="1" applyFill="1" applyBorder="1" applyAlignment="1">
      <alignment horizontal="left" vertical="center"/>
    </xf>
    <xf numFmtId="3" fontId="14" fillId="13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left" vertical="center"/>
    </xf>
    <xf numFmtId="3" fontId="7" fillId="8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3" fontId="7" fillId="9" borderId="2" xfId="0" applyNumberFormat="1" applyFont="1" applyFill="1" applyBorder="1" applyAlignment="1">
      <alignment horizontal="right" vertical="center"/>
    </xf>
    <xf numFmtId="0" fontId="6" fillId="12" borderId="2" xfId="0" applyFont="1" applyFill="1" applyBorder="1" applyAlignment="1">
      <alignment horizontal="left" vertical="center"/>
    </xf>
    <xf numFmtId="3" fontId="6" fillId="12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0" fontId="11" fillId="4" borderId="2" xfId="0" applyNumberFormat="1" applyFont="1" applyFill="1" applyBorder="1" applyAlignment="1">
      <alignment horizontal="center" vertical="center"/>
    </xf>
    <xf numFmtId="10" fontId="11" fillId="11" borderId="2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10" fontId="16" fillId="10" borderId="2" xfId="0" applyNumberFormat="1" applyFont="1" applyFill="1" applyBorder="1" applyAlignment="1">
      <alignment horizontal="center" vertical="center"/>
    </xf>
    <xf numFmtId="3" fontId="13" fillId="14" borderId="2" xfId="0" applyNumberFormat="1" applyFont="1" applyFill="1" applyBorder="1" applyAlignment="1">
      <alignment horizontal="right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3" fontId="12" fillId="0" borderId="2" xfId="0" applyNumberFormat="1" applyFont="1" applyFill="1" applyBorder="1" applyAlignment="1">
      <alignment horizontal="right" vertical="center"/>
    </xf>
    <xf numFmtId="0" fontId="6" fillId="15" borderId="2" xfId="0" applyFont="1" applyFill="1" applyBorder="1" applyAlignment="1">
      <alignment horizontal="left" vertical="center"/>
    </xf>
    <xf numFmtId="3" fontId="6" fillId="14" borderId="2" xfId="0" applyNumberFormat="1" applyFont="1" applyFill="1" applyBorder="1" applyAlignment="1">
      <alignment horizontal="right" vertical="center"/>
    </xf>
    <xf numFmtId="1" fontId="7" fillId="9" borderId="2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164" fontId="16" fillId="10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/>
    </xf>
    <xf numFmtId="175" fontId="1" fillId="0" borderId="2" xfId="1" applyNumberFormat="1" applyBorder="1" applyAlignment="1">
      <alignment horizontal="right" vertical="center"/>
    </xf>
    <xf numFmtId="175" fontId="1" fillId="17" borderId="2" xfId="1" applyNumberFormat="1" applyFill="1" applyBorder="1" applyAlignment="1">
      <alignment horizontal="right" vertical="center"/>
    </xf>
    <xf numFmtId="164" fontId="1" fillId="17" borderId="2" xfId="2" applyNumberFormat="1" applyFill="1" applyBorder="1" applyAlignment="1">
      <alignment horizontal="right" vertical="center"/>
    </xf>
    <xf numFmtId="3" fontId="7" fillId="18" borderId="2" xfId="0" applyNumberFormat="1" applyFont="1" applyFill="1" applyBorder="1" applyAlignment="1">
      <alignment horizontal="right" vertical="center"/>
    </xf>
    <xf numFmtId="0" fontId="7" fillId="18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17" borderId="2" xfId="0" applyFill="1" applyBorder="1" applyAlignment="1">
      <alignment vertical="center" wrapText="1"/>
    </xf>
    <xf numFmtId="0" fontId="17" fillId="16" borderId="2" xfId="0" applyFont="1" applyFill="1" applyBorder="1" applyAlignment="1">
      <alignment vertical="center" wrapText="1"/>
    </xf>
    <xf numFmtId="175" fontId="18" fillId="16" borderId="2" xfId="1" applyNumberFormat="1" applyFont="1" applyFill="1" applyBorder="1" applyAlignment="1">
      <alignment horizontal="right" vertical="center"/>
    </xf>
    <xf numFmtId="164" fontId="15" fillId="5" borderId="2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DE7"/>
      <rgbColor rgb="FFEA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FF7"/>
      <rgbColor rgb="FFEBF5E1"/>
      <rgbColor rgb="FFFFF2CC"/>
      <rgbColor rgb="FFD6E4F0"/>
      <rgbColor rgb="FFEEF2F7"/>
      <rgbColor rgb="FFF4F6FA"/>
      <rgbColor rgb="FFFCE9D9"/>
      <rgbColor rgb="FF2E75B6"/>
      <rgbColor rgb="FF33CCCC"/>
      <rgbColor rgb="FF9BBB59"/>
      <rgbColor rgb="FFFFCC00"/>
      <rgbColor rgb="FFFF9900"/>
      <rgbColor rgb="FFC05A1E"/>
      <rgbColor rgb="FF4F81BD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3CC"/>
      <color rgb="FFF4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>
      <selection activeCell="C19" sqref="C19"/>
    </sheetView>
  </sheetViews>
  <sheetFormatPr baseColWidth="10" defaultColWidth="8.6640625" defaultRowHeight="15" x14ac:dyDescent="0.2"/>
  <cols>
    <col min="1" max="1" width="18.5" bestFit="1" customWidth="1"/>
    <col min="2" max="2" width="15.5" customWidth="1"/>
    <col min="3" max="3" width="122.6640625" bestFit="1" customWidth="1"/>
  </cols>
  <sheetData>
    <row r="1" spans="1:3" ht="30" customHeight="1" x14ac:dyDescent="0.2">
      <c r="A1" s="9" t="s">
        <v>0</v>
      </c>
      <c r="B1" s="9"/>
      <c r="C1" s="9"/>
    </row>
    <row r="2" spans="1:3" ht="18" customHeight="1" x14ac:dyDescent="0.2">
      <c r="A2" s="8" t="s">
        <v>99</v>
      </c>
      <c r="B2" s="8"/>
      <c r="C2" s="8"/>
    </row>
    <row r="3" spans="1:3" ht="21.75" customHeight="1" x14ac:dyDescent="0.2">
      <c r="A3" s="7" t="s">
        <v>1</v>
      </c>
      <c r="B3" s="7"/>
      <c r="C3" s="7"/>
    </row>
    <row r="4" spans="1:3" x14ac:dyDescent="0.2">
      <c r="A4" s="10" t="s">
        <v>2</v>
      </c>
      <c r="B4" s="10" t="s">
        <v>3</v>
      </c>
      <c r="C4" s="10" t="s">
        <v>4</v>
      </c>
    </row>
    <row r="5" spans="1:3" ht="51.75" customHeight="1" x14ac:dyDescent="0.2">
      <c r="A5" s="11" t="s">
        <v>5</v>
      </c>
      <c r="B5" s="75">
        <v>2.46E-2</v>
      </c>
      <c r="C5" s="12" t="s">
        <v>97</v>
      </c>
    </row>
    <row r="6" spans="1:3" ht="51.75" customHeight="1" x14ac:dyDescent="0.2">
      <c r="A6" s="13" t="s">
        <v>6</v>
      </c>
      <c r="B6" s="14">
        <v>3.2000000000000001E-2</v>
      </c>
      <c r="C6" s="15" t="s">
        <v>100</v>
      </c>
    </row>
    <row r="7" spans="1:3" ht="51.75" customHeight="1" x14ac:dyDescent="0.2">
      <c r="A7" s="16" t="s">
        <v>7</v>
      </c>
      <c r="B7" s="17">
        <v>0.06</v>
      </c>
      <c r="C7" s="18" t="s">
        <v>98</v>
      </c>
    </row>
    <row r="8" spans="1:3" ht="21.75" customHeight="1" x14ac:dyDescent="0.2">
      <c r="A8" s="7" t="s">
        <v>8</v>
      </c>
      <c r="B8" s="7"/>
      <c r="C8" s="7"/>
    </row>
    <row r="9" spans="1:3" x14ac:dyDescent="0.2">
      <c r="A9" s="10" t="s">
        <v>2</v>
      </c>
      <c r="B9" s="10" t="s">
        <v>3</v>
      </c>
      <c r="C9" s="10" t="s">
        <v>9</v>
      </c>
    </row>
    <row r="10" spans="1:3" ht="18" customHeight="1" x14ac:dyDescent="0.2">
      <c r="A10" s="19" t="s">
        <v>10</v>
      </c>
      <c r="B10" s="20" t="s">
        <v>11</v>
      </c>
      <c r="C10" s="20" t="s">
        <v>92</v>
      </c>
    </row>
    <row r="11" spans="1:3" ht="18" customHeight="1" x14ac:dyDescent="0.2">
      <c r="A11" s="21" t="s">
        <v>12</v>
      </c>
      <c r="B11" s="22" t="s">
        <v>13</v>
      </c>
      <c r="C11" s="22" t="s">
        <v>14</v>
      </c>
    </row>
    <row r="12" spans="1:3" ht="18" customHeight="1" x14ac:dyDescent="0.2">
      <c r="A12" s="19" t="s">
        <v>15</v>
      </c>
      <c r="B12" s="20" t="s">
        <v>16</v>
      </c>
      <c r="C12" s="20" t="s">
        <v>121</v>
      </c>
    </row>
    <row r="13" spans="1:3" ht="18" customHeight="1" x14ac:dyDescent="0.2">
      <c r="A13" s="21" t="s">
        <v>17</v>
      </c>
      <c r="B13" s="22" t="s">
        <v>18</v>
      </c>
      <c r="C13" s="22" t="s">
        <v>19</v>
      </c>
    </row>
    <row r="14" spans="1:3" ht="18" customHeight="1" x14ac:dyDescent="0.2">
      <c r="A14" s="19" t="s">
        <v>20</v>
      </c>
      <c r="B14" s="20" t="s">
        <v>21</v>
      </c>
      <c r="C14" s="20" t="s">
        <v>22</v>
      </c>
    </row>
    <row r="15" spans="1:3" ht="18" customHeight="1" x14ac:dyDescent="0.2">
      <c r="A15" s="21" t="s">
        <v>23</v>
      </c>
      <c r="B15" s="22" t="s">
        <v>24</v>
      </c>
      <c r="C15" s="22" t="s">
        <v>25</v>
      </c>
    </row>
  </sheetData>
  <mergeCells count="4">
    <mergeCell ref="A1:C1"/>
    <mergeCell ref="A2:C2"/>
    <mergeCell ref="A3:C3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zoomScaleNormal="100" workbookViewId="0">
      <pane xSplit="4" ySplit="4" topLeftCell="H10" activePane="bottomRight" state="frozen"/>
      <selection pane="topRight" activeCell="E1" sqref="E1"/>
      <selection pane="bottomLeft" activeCell="A5" sqref="A5"/>
      <selection pane="bottomRight" activeCell="W9" sqref="W9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28" customWidth="1"/>
    <col min="4" max="4" width="9" customWidth="1"/>
    <col min="5" max="5" width="14" customWidth="1"/>
    <col min="6" max="7" width="12" customWidth="1"/>
    <col min="8" max="8" width="14" customWidth="1"/>
    <col min="9" max="10" width="12" customWidth="1"/>
    <col min="11" max="11" width="14" customWidth="1"/>
    <col min="12" max="13" width="12" customWidth="1"/>
    <col min="14" max="17" width="14" customWidth="1"/>
    <col min="18" max="18" width="8.1640625" customWidth="1"/>
    <col min="19" max="19" width="5.5" bestFit="1" customWidth="1"/>
    <col min="20" max="20" width="7.83203125" bestFit="1" customWidth="1"/>
    <col min="21" max="21" width="7.1640625" customWidth="1"/>
  </cols>
  <sheetData>
    <row r="1" spans="1:21" ht="27.75" customHeight="1" x14ac:dyDescent="0.2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S1" s="43" t="s">
        <v>93</v>
      </c>
      <c r="T1" s="44"/>
      <c r="U1" s="44"/>
    </row>
    <row r="2" spans="1:21" ht="19.5" customHeight="1" x14ac:dyDescent="0.2">
      <c r="A2" s="8" t="s">
        <v>119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S2" s="49" t="s">
        <v>94</v>
      </c>
      <c r="T2" s="45" t="s">
        <v>95</v>
      </c>
      <c r="U2" s="46" t="s">
        <v>96</v>
      </c>
    </row>
    <row r="3" spans="1:21" ht="19.5" customHeight="1" x14ac:dyDescent="0.2">
      <c r="A3" s="23"/>
      <c r="B3" s="23"/>
      <c r="C3" s="23"/>
      <c r="D3" s="23"/>
      <c r="E3" s="23" t="s">
        <v>27</v>
      </c>
      <c r="F3" s="47" t="s">
        <v>116</v>
      </c>
      <c r="G3" s="47"/>
      <c r="H3" s="47"/>
      <c r="I3" s="5" t="s">
        <v>117</v>
      </c>
      <c r="J3" s="5"/>
      <c r="K3" s="5"/>
      <c r="L3" s="4" t="s">
        <v>118</v>
      </c>
      <c r="M3" s="4"/>
      <c r="N3" s="4"/>
      <c r="O3" s="3" t="s">
        <v>28</v>
      </c>
      <c r="P3" s="3"/>
      <c r="Q3" s="3"/>
      <c r="S3" s="61">
        <v>2.5000000000000001E-2</v>
      </c>
      <c r="T3" s="62">
        <v>3.2000000000000001E-2</v>
      </c>
      <c r="U3" s="63">
        <v>0.06</v>
      </c>
    </row>
    <row r="4" spans="1:21" ht="19.5" customHeight="1" x14ac:dyDescent="0.2">
      <c r="A4" s="24" t="s">
        <v>29</v>
      </c>
      <c r="B4" s="24" t="s">
        <v>30</v>
      </c>
      <c r="C4" s="24" t="s">
        <v>31</v>
      </c>
      <c r="D4" s="24" t="s">
        <v>32</v>
      </c>
      <c r="E4" s="24" t="s">
        <v>33</v>
      </c>
      <c r="F4" s="48" t="s">
        <v>34</v>
      </c>
      <c r="G4" s="48" t="s">
        <v>35</v>
      </c>
      <c r="H4" s="48" t="s">
        <v>36</v>
      </c>
      <c r="I4" s="25" t="s">
        <v>34</v>
      </c>
      <c r="J4" s="25" t="s">
        <v>35</v>
      </c>
      <c r="K4" s="25" t="s">
        <v>36</v>
      </c>
      <c r="L4" s="26" t="s">
        <v>34</v>
      </c>
      <c r="M4" s="26" t="s">
        <v>35</v>
      </c>
      <c r="N4" s="26" t="s">
        <v>36</v>
      </c>
      <c r="O4" s="24" t="s">
        <v>37</v>
      </c>
      <c r="P4" s="24" t="s">
        <v>38</v>
      </c>
      <c r="Q4" s="24" t="s">
        <v>39</v>
      </c>
    </row>
    <row r="5" spans="1:21" ht="15.75" customHeight="1" x14ac:dyDescent="0.2">
      <c r="A5" s="51">
        <v>1</v>
      </c>
      <c r="B5" s="52" t="s">
        <v>40</v>
      </c>
      <c r="C5" s="52" t="s">
        <v>40</v>
      </c>
      <c r="D5" s="51">
        <v>1</v>
      </c>
      <c r="E5" s="53">
        <v>1953500</v>
      </c>
      <c r="F5" s="27">
        <f>ROUND($E5*(1+$S$3)^1, 0)</f>
        <v>2002338</v>
      </c>
      <c r="G5" s="27">
        <f>ROUND($E5*(1+$S$3)^2, 0)</f>
        <v>2052396</v>
      </c>
      <c r="H5" s="27">
        <f>ROUND($E5*(1+$S$3)^3, 0)</f>
        <v>2103706</v>
      </c>
      <c r="I5" s="27">
        <f>ROUND($E5*(1+$T$3)^1, 0)</f>
        <v>2016012</v>
      </c>
      <c r="J5" s="27">
        <f>ROUND($E5*(1+$T$3)^2, 0)</f>
        <v>2080524</v>
      </c>
      <c r="K5" s="27">
        <f>ROUND($E5*(1+$T$3)^3, 0)</f>
        <v>2147101</v>
      </c>
      <c r="L5" s="27">
        <f>ROUND($E5*(1+$U$3)^1, 0)</f>
        <v>2070710</v>
      </c>
      <c r="M5" s="27">
        <f>ROUND($E5*(1+$U$3)^2, 0)</f>
        <v>2194953</v>
      </c>
      <c r="N5" s="27">
        <f>ROUND($E5*(1+$U$3)^3, 0)</f>
        <v>2326650</v>
      </c>
      <c r="O5" s="27">
        <f>H5/$D5</f>
        <v>2103706</v>
      </c>
      <c r="P5" s="27">
        <f>K5/$D5</f>
        <v>2147101</v>
      </c>
      <c r="Q5" s="27">
        <f>N5/$D5</f>
        <v>2326650</v>
      </c>
    </row>
    <row r="6" spans="1:21" ht="15.75" customHeight="1" x14ac:dyDescent="0.2">
      <c r="A6" s="51">
        <v>2</v>
      </c>
      <c r="B6" s="52" t="s">
        <v>41</v>
      </c>
      <c r="C6" s="52" t="s">
        <v>41</v>
      </c>
      <c r="D6" s="51">
        <v>1</v>
      </c>
      <c r="E6" s="53">
        <v>1017500</v>
      </c>
      <c r="F6" s="27">
        <f>ROUND($E6*(1+$S$3)^1, 0)</f>
        <v>1042938</v>
      </c>
      <c r="G6" s="27">
        <f>ROUND($E6*(1+$S$3)^2, 0)</f>
        <v>1069011</v>
      </c>
      <c r="H6" s="27">
        <f>ROUND($E6*(1+$S$3)^3, 0)</f>
        <v>1095736</v>
      </c>
      <c r="I6" s="27">
        <f>ROUND($E6*(1+$T$3)^1, 0)</f>
        <v>1050060</v>
      </c>
      <c r="J6" s="27">
        <f>ROUND($E6*(1+$T$3)^2, 0)</f>
        <v>1083662</v>
      </c>
      <c r="K6" s="27">
        <f>ROUND($E6*(1+$T$3)^3, 0)</f>
        <v>1118339</v>
      </c>
      <c r="L6" s="27">
        <f>ROUND($E6*(1+$U$3)^1, 0)</f>
        <v>1078550</v>
      </c>
      <c r="M6" s="27">
        <f>ROUND($E6*(1+$U$3)^2, 0)</f>
        <v>1143263</v>
      </c>
      <c r="N6" s="27">
        <f>ROUND($E6*(1+$U$3)^3, 0)</f>
        <v>1211859</v>
      </c>
      <c r="O6" s="27">
        <f t="shared" ref="O6:O24" si="0">H6/$D6</f>
        <v>1095736</v>
      </c>
      <c r="P6" s="27">
        <f t="shared" ref="P6:P24" si="1">K6/$D6</f>
        <v>1118339</v>
      </c>
      <c r="Q6" s="27">
        <f t="shared" ref="Q6:Q24" si="2">N6/$D6</f>
        <v>1211859</v>
      </c>
    </row>
    <row r="7" spans="1:21" ht="15.75" customHeight="1" x14ac:dyDescent="0.2">
      <c r="A7" s="51">
        <v>3</v>
      </c>
      <c r="B7" s="52" t="s">
        <v>42</v>
      </c>
      <c r="C7" s="52" t="s">
        <v>42</v>
      </c>
      <c r="D7" s="51">
        <v>1</v>
      </c>
      <c r="E7" s="53">
        <v>1010800</v>
      </c>
      <c r="F7" s="27">
        <f>ROUND($E7*(1+$S$3)^1, 0)</f>
        <v>1036070</v>
      </c>
      <c r="G7" s="27">
        <f>ROUND($E7*(1+$S$3)^2, 0)</f>
        <v>1061972</v>
      </c>
      <c r="H7" s="27">
        <f>ROUND($E7*(1+$S$3)^3, 0)</f>
        <v>1088521</v>
      </c>
      <c r="I7" s="27">
        <f>ROUND($E7*(1+$T$3)^1, 0)</f>
        <v>1043146</v>
      </c>
      <c r="J7" s="27">
        <f>ROUND($E7*(1+$T$3)^2, 0)</f>
        <v>1076526</v>
      </c>
      <c r="K7" s="27">
        <f>ROUND($E7*(1+$T$3)^3, 0)</f>
        <v>1110975</v>
      </c>
      <c r="L7" s="27">
        <f>ROUND($E7*(1+$U$3)^1, 0)</f>
        <v>1071448</v>
      </c>
      <c r="M7" s="27">
        <f>ROUND($E7*(1+$U$3)^2, 0)</f>
        <v>1135735</v>
      </c>
      <c r="N7" s="27">
        <f>ROUND($E7*(1+$U$3)^3, 0)</f>
        <v>1203879</v>
      </c>
      <c r="O7" s="27">
        <f t="shared" si="0"/>
        <v>1088521</v>
      </c>
      <c r="P7" s="27">
        <f t="shared" si="1"/>
        <v>1110975</v>
      </c>
      <c r="Q7" s="27">
        <f t="shared" si="2"/>
        <v>1203879</v>
      </c>
    </row>
    <row r="8" spans="1:21" ht="15.75" customHeight="1" x14ac:dyDescent="0.2">
      <c r="A8" s="51">
        <v>4</v>
      </c>
      <c r="B8" s="52" t="s">
        <v>43</v>
      </c>
      <c r="C8" s="52" t="s">
        <v>44</v>
      </c>
      <c r="D8" s="51">
        <v>2</v>
      </c>
      <c r="E8" s="53">
        <v>935400</v>
      </c>
      <c r="F8" s="27">
        <f>ROUND($E8*(1+$S$3)^1, 0)</f>
        <v>958785</v>
      </c>
      <c r="G8" s="27">
        <f>ROUND($E8*(1+$S$3)^2, 0)</f>
        <v>982755</v>
      </c>
      <c r="H8" s="27">
        <f>ROUND($E8*(1+$S$3)^3, 0)</f>
        <v>1007323</v>
      </c>
      <c r="I8" s="27">
        <f>ROUND($E8*(1+$T$3)^1, 0)</f>
        <v>965333</v>
      </c>
      <c r="J8" s="27">
        <f>ROUND($E8*(1+$T$3)^2, 0)</f>
        <v>996223</v>
      </c>
      <c r="K8" s="27">
        <f>ROUND($E8*(1+$T$3)^3, 0)</f>
        <v>1028103</v>
      </c>
      <c r="L8" s="27">
        <f>ROUND($E8*(1+$U$3)^1, 0)</f>
        <v>991524</v>
      </c>
      <c r="M8" s="27">
        <f>ROUND($E8*(1+$U$3)^2, 0)</f>
        <v>1051015</v>
      </c>
      <c r="N8" s="27">
        <f>ROUND($E8*(1+$U$3)^3, 0)</f>
        <v>1114076</v>
      </c>
      <c r="O8" s="27">
        <f t="shared" si="0"/>
        <v>503661.5</v>
      </c>
      <c r="P8" s="27">
        <f t="shared" si="1"/>
        <v>514051.5</v>
      </c>
      <c r="Q8" s="27">
        <f t="shared" si="2"/>
        <v>557038</v>
      </c>
    </row>
    <row r="9" spans="1:21" ht="15.75" customHeight="1" x14ac:dyDescent="0.2">
      <c r="A9" s="51">
        <v>5</v>
      </c>
      <c r="B9" s="52" t="s">
        <v>45</v>
      </c>
      <c r="C9" s="52" t="s">
        <v>46</v>
      </c>
      <c r="D9" s="51">
        <v>2</v>
      </c>
      <c r="E9" s="53">
        <v>931300</v>
      </c>
      <c r="F9" s="27">
        <f>ROUND($E9*(1+$S$3)^1, 0)</f>
        <v>954583</v>
      </c>
      <c r="G9" s="27">
        <f>ROUND($E9*(1+$S$3)^2, 0)</f>
        <v>978447</v>
      </c>
      <c r="H9" s="27">
        <f>ROUND($E9*(1+$S$3)^3, 0)</f>
        <v>1002908</v>
      </c>
      <c r="I9" s="27">
        <f>ROUND($E9*(1+$T$3)^1, 0)</f>
        <v>961102</v>
      </c>
      <c r="J9" s="27">
        <f>ROUND($E9*(1+$T$3)^2, 0)</f>
        <v>991857</v>
      </c>
      <c r="K9" s="27">
        <f>ROUND($E9*(1+$T$3)^3, 0)</f>
        <v>1023596</v>
      </c>
      <c r="L9" s="27">
        <f>ROUND($E9*(1+$U$3)^1, 0)</f>
        <v>987178</v>
      </c>
      <c r="M9" s="27">
        <f>ROUND($E9*(1+$U$3)^2, 0)</f>
        <v>1046409</v>
      </c>
      <c r="N9" s="27">
        <f>ROUND($E9*(1+$U$3)^3, 0)</f>
        <v>1109193</v>
      </c>
      <c r="O9" s="27">
        <f t="shared" si="0"/>
        <v>501454</v>
      </c>
      <c r="P9" s="27">
        <f t="shared" si="1"/>
        <v>511798</v>
      </c>
      <c r="Q9" s="27">
        <f t="shared" si="2"/>
        <v>554596.5</v>
      </c>
    </row>
    <row r="10" spans="1:21" ht="15.75" customHeight="1" x14ac:dyDescent="0.2">
      <c r="A10" s="51">
        <v>6</v>
      </c>
      <c r="B10" s="52" t="s">
        <v>47</v>
      </c>
      <c r="C10" s="52" t="s">
        <v>47</v>
      </c>
      <c r="D10" s="51">
        <v>1</v>
      </c>
      <c r="E10" s="53">
        <v>901800</v>
      </c>
      <c r="F10" s="27">
        <f>ROUND($E10*(1+$S$3)^1, 0)</f>
        <v>924345</v>
      </c>
      <c r="G10" s="27">
        <f>ROUND($E10*(1+$S$3)^2, 0)</f>
        <v>947454</v>
      </c>
      <c r="H10" s="27">
        <f>ROUND($E10*(1+$S$3)^3, 0)</f>
        <v>971140</v>
      </c>
      <c r="I10" s="27">
        <f>ROUND($E10*(1+$T$3)^1, 0)</f>
        <v>930658</v>
      </c>
      <c r="J10" s="27">
        <f>ROUND($E10*(1+$T$3)^2, 0)</f>
        <v>960439</v>
      </c>
      <c r="K10" s="27">
        <f>ROUND($E10*(1+$T$3)^3, 0)</f>
        <v>991173</v>
      </c>
      <c r="L10" s="27">
        <f>ROUND($E10*(1+$U$3)^1, 0)</f>
        <v>955908</v>
      </c>
      <c r="M10" s="27">
        <f>ROUND($E10*(1+$U$3)^2, 0)</f>
        <v>1013262</v>
      </c>
      <c r="N10" s="27">
        <f>ROUND($E10*(1+$U$3)^3, 0)</f>
        <v>1074058</v>
      </c>
      <c r="O10" s="27">
        <f t="shared" si="0"/>
        <v>971140</v>
      </c>
      <c r="P10" s="27">
        <f t="shared" si="1"/>
        <v>991173</v>
      </c>
      <c r="Q10" s="27">
        <f t="shared" si="2"/>
        <v>1074058</v>
      </c>
    </row>
    <row r="11" spans="1:21" ht="15.75" customHeight="1" x14ac:dyDescent="0.2">
      <c r="A11" s="51">
        <v>7</v>
      </c>
      <c r="B11" s="52" t="s">
        <v>48</v>
      </c>
      <c r="C11" s="52" t="s">
        <v>48</v>
      </c>
      <c r="D11" s="51">
        <v>1</v>
      </c>
      <c r="E11" s="53">
        <v>781500</v>
      </c>
      <c r="F11" s="27">
        <f>ROUND($E11*(1+$S$3)^1, 0)</f>
        <v>801038</v>
      </c>
      <c r="G11" s="27">
        <f>ROUND($E11*(1+$S$3)^2, 0)</f>
        <v>821063</v>
      </c>
      <c r="H11" s="27">
        <f>ROUND($E11*(1+$S$3)^3, 0)</f>
        <v>841590</v>
      </c>
      <c r="I11" s="27">
        <f>ROUND($E11*(1+$T$3)^1, 0)</f>
        <v>806508</v>
      </c>
      <c r="J11" s="27">
        <f>ROUND($E11*(1+$T$3)^2, 0)</f>
        <v>832316</v>
      </c>
      <c r="K11" s="27">
        <f>ROUND($E11*(1+$T$3)^3, 0)</f>
        <v>858950</v>
      </c>
      <c r="L11" s="27">
        <f>ROUND($E11*(1+$U$3)^1, 0)</f>
        <v>828390</v>
      </c>
      <c r="M11" s="27">
        <f>ROUND($E11*(1+$U$3)^2, 0)</f>
        <v>878093</v>
      </c>
      <c r="N11" s="27">
        <f>ROUND($E11*(1+$U$3)^3, 0)</f>
        <v>930779</v>
      </c>
      <c r="O11" s="27">
        <f t="shared" si="0"/>
        <v>841590</v>
      </c>
      <c r="P11" s="27">
        <f t="shared" si="1"/>
        <v>858950</v>
      </c>
      <c r="Q11" s="27">
        <f t="shared" si="2"/>
        <v>930779</v>
      </c>
    </row>
    <row r="12" spans="1:21" ht="15.75" customHeight="1" x14ac:dyDescent="0.2">
      <c r="A12" s="51">
        <v>8</v>
      </c>
      <c r="B12" s="52" t="s">
        <v>49</v>
      </c>
      <c r="C12" s="52" t="s">
        <v>50</v>
      </c>
      <c r="D12" s="51">
        <v>2</v>
      </c>
      <c r="E12" s="53">
        <v>744400</v>
      </c>
      <c r="F12" s="27">
        <f>ROUND($E12*(1+$S$3)^1, 0)</f>
        <v>763010</v>
      </c>
      <c r="G12" s="27">
        <f>ROUND($E12*(1+$S$3)^2, 0)</f>
        <v>782085</v>
      </c>
      <c r="H12" s="27">
        <f>ROUND($E12*(1+$S$3)^3, 0)</f>
        <v>801637</v>
      </c>
      <c r="I12" s="27">
        <f>ROUND($E12*(1+$T$3)^1, 0)</f>
        <v>768221</v>
      </c>
      <c r="J12" s="27">
        <f>ROUND($E12*(1+$T$3)^2, 0)</f>
        <v>792804</v>
      </c>
      <c r="K12" s="27">
        <f>ROUND($E12*(1+$T$3)^3, 0)</f>
        <v>818174</v>
      </c>
      <c r="L12" s="27">
        <f>ROUND($E12*(1+$U$3)^1, 0)</f>
        <v>789064</v>
      </c>
      <c r="M12" s="27">
        <f>ROUND($E12*(1+$U$3)^2, 0)</f>
        <v>836408</v>
      </c>
      <c r="N12" s="27">
        <f>ROUND($E12*(1+$U$3)^3, 0)</f>
        <v>886592</v>
      </c>
      <c r="O12" s="27">
        <f t="shared" si="0"/>
        <v>400818.5</v>
      </c>
      <c r="P12" s="27">
        <f t="shared" si="1"/>
        <v>409087</v>
      </c>
      <c r="Q12" s="27">
        <f t="shared" si="2"/>
        <v>443296</v>
      </c>
    </row>
    <row r="13" spans="1:21" ht="15.75" customHeight="1" x14ac:dyDescent="0.2">
      <c r="A13" s="51">
        <v>9</v>
      </c>
      <c r="B13" s="52" t="s">
        <v>51</v>
      </c>
      <c r="C13" s="52" t="s">
        <v>51</v>
      </c>
      <c r="D13" s="51">
        <v>1</v>
      </c>
      <c r="E13" s="53">
        <v>683600</v>
      </c>
      <c r="F13" s="27">
        <f>ROUND($E13*(1+$S$3)^1, 0)</f>
        <v>700690</v>
      </c>
      <c r="G13" s="27">
        <f>ROUND($E13*(1+$S$3)^2, 0)</f>
        <v>718207</v>
      </c>
      <c r="H13" s="27">
        <f>ROUND($E13*(1+$S$3)^3, 0)</f>
        <v>736162</v>
      </c>
      <c r="I13" s="27">
        <f>ROUND($E13*(1+$T$3)^1, 0)</f>
        <v>705475</v>
      </c>
      <c r="J13" s="27">
        <f>ROUND($E13*(1+$T$3)^2, 0)</f>
        <v>728050</v>
      </c>
      <c r="K13" s="27">
        <f>ROUND($E13*(1+$T$3)^3, 0)</f>
        <v>751348</v>
      </c>
      <c r="L13" s="27">
        <f>ROUND($E13*(1+$U$3)^1, 0)</f>
        <v>724616</v>
      </c>
      <c r="M13" s="27">
        <f>ROUND($E13*(1+$U$3)^2, 0)</f>
        <v>768093</v>
      </c>
      <c r="N13" s="27">
        <f>ROUND($E13*(1+$U$3)^3, 0)</f>
        <v>814179</v>
      </c>
      <c r="O13" s="27">
        <f t="shared" si="0"/>
        <v>736162</v>
      </c>
      <c r="P13" s="27">
        <f t="shared" si="1"/>
        <v>751348</v>
      </c>
      <c r="Q13" s="27">
        <f t="shared" si="2"/>
        <v>814179</v>
      </c>
    </row>
    <row r="14" spans="1:21" ht="15.75" customHeight="1" x14ac:dyDescent="0.2">
      <c r="A14" s="51">
        <v>10</v>
      </c>
      <c r="B14" s="52" t="s">
        <v>52</v>
      </c>
      <c r="C14" s="52" t="s">
        <v>53</v>
      </c>
      <c r="D14" s="51">
        <v>1</v>
      </c>
      <c r="E14" s="53">
        <v>633200</v>
      </c>
      <c r="F14" s="27">
        <f>ROUND($E14*(1+$S$3)^1, 0)</f>
        <v>649030</v>
      </c>
      <c r="G14" s="27">
        <f>ROUND($E14*(1+$S$3)^2, 0)</f>
        <v>665256</v>
      </c>
      <c r="H14" s="27">
        <f>ROUND($E14*(1+$S$3)^3, 0)</f>
        <v>681887</v>
      </c>
      <c r="I14" s="27">
        <f>ROUND($E14*(1+$T$3)^1, 0)</f>
        <v>653462</v>
      </c>
      <c r="J14" s="27">
        <f>ROUND($E14*(1+$T$3)^2, 0)</f>
        <v>674373</v>
      </c>
      <c r="K14" s="27">
        <f>ROUND($E14*(1+$T$3)^3, 0)</f>
        <v>695953</v>
      </c>
      <c r="L14" s="27">
        <f>ROUND($E14*(1+$U$3)^1, 0)</f>
        <v>671192</v>
      </c>
      <c r="M14" s="27">
        <f>ROUND($E14*(1+$U$3)^2, 0)</f>
        <v>711464</v>
      </c>
      <c r="N14" s="27">
        <f>ROUND($E14*(1+$U$3)^3, 0)</f>
        <v>754151</v>
      </c>
      <c r="O14" s="27">
        <f t="shared" si="0"/>
        <v>681887</v>
      </c>
      <c r="P14" s="27">
        <f t="shared" si="1"/>
        <v>695953</v>
      </c>
      <c r="Q14" s="27">
        <f t="shared" si="2"/>
        <v>754151</v>
      </c>
    </row>
    <row r="15" spans="1:21" ht="15.75" customHeight="1" x14ac:dyDescent="0.2">
      <c r="A15" s="51">
        <v>11</v>
      </c>
      <c r="B15" s="52" t="s">
        <v>54</v>
      </c>
      <c r="C15" s="52" t="s">
        <v>55</v>
      </c>
      <c r="D15" s="51">
        <v>1</v>
      </c>
      <c r="E15" s="53">
        <v>597400</v>
      </c>
      <c r="F15" s="27">
        <f>ROUND($E15*(1+$S$3)^1, 0)</f>
        <v>612335</v>
      </c>
      <c r="G15" s="27">
        <f>ROUND($E15*(1+$S$3)^2, 0)</f>
        <v>627643</v>
      </c>
      <c r="H15" s="27">
        <f>ROUND($E15*(1+$S$3)^3, 0)</f>
        <v>643334</v>
      </c>
      <c r="I15" s="27">
        <f>ROUND($E15*(1+$T$3)^1, 0)</f>
        <v>616517</v>
      </c>
      <c r="J15" s="27">
        <f>ROUND($E15*(1+$T$3)^2, 0)</f>
        <v>636245</v>
      </c>
      <c r="K15" s="27">
        <f>ROUND($E15*(1+$T$3)^3, 0)</f>
        <v>656605</v>
      </c>
      <c r="L15" s="27">
        <f>ROUND($E15*(1+$U$3)^1, 0)</f>
        <v>633244</v>
      </c>
      <c r="M15" s="27">
        <f>ROUND($E15*(1+$U$3)^2, 0)</f>
        <v>671239</v>
      </c>
      <c r="N15" s="27">
        <f>ROUND($E15*(1+$U$3)^3, 0)</f>
        <v>711513</v>
      </c>
      <c r="O15" s="27">
        <f t="shared" si="0"/>
        <v>643334</v>
      </c>
      <c r="P15" s="27">
        <f t="shared" si="1"/>
        <v>656605</v>
      </c>
      <c r="Q15" s="27">
        <f t="shared" si="2"/>
        <v>711513</v>
      </c>
    </row>
    <row r="16" spans="1:21" ht="15.75" customHeight="1" x14ac:dyDescent="0.2">
      <c r="A16" s="51">
        <v>12</v>
      </c>
      <c r="B16" s="52" t="s">
        <v>56</v>
      </c>
      <c r="C16" s="52" t="s">
        <v>56</v>
      </c>
      <c r="D16" s="51">
        <v>1</v>
      </c>
      <c r="E16" s="53">
        <v>487000</v>
      </c>
      <c r="F16" s="27">
        <f>ROUND($E16*(1+$S$3)^1, 0)</f>
        <v>499175</v>
      </c>
      <c r="G16" s="27">
        <f>ROUND($E16*(1+$S$3)^2, 0)</f>
        <v>511654</v>
      </c>
      <c r="H16" s="27">
        <f>ROUND($E16*(1+$S$3)^3, 0)</f>
        <v>524446</v>
      </c>
      <c r="I16" s="27">
        <f>ROUND($E16*(1+$T$3)^1, 0)</f>
        <v>502584</v>
      </c>
      <c r="J16" s="27">
        <f>ROUND($E16*(1+$T$3)^2, 0)</f>
        <v>518667</v>
      </c>
      <c r="K16" s="27">
        <f>ROUND($E16*(1+$T$3)^3, 0)</f>
        <v>535264</v>
      </c>
      <c r="L16" s="27">
        <f>ROUND($E16*(1+$U$3)^1, 0)</f>
        <v>516220</v>
      </c>
      <c r="M16" s="27">
        <f>ROUND($E16*(1+$U$3)^2, 0)</f>
        <v>547193</v>
      </c>
      <c r="N16" s="27">
        <f>ROUND($E16*(1+$U$3)^3, 0)</f>
        <v>580025</v>
      </c>
      <c r="O16" s="27">
        <f t="shared" si="0"/>
        <v>524446</v>
      </c>
      <c r="P16" s="27">
        <f t="shared" si="1"/>
        <v>535264</v>
      </c>
      <c r="Q16" s="27">
        <f t="shared" si="2"/>
        <v>580025</v>
      </c>
    </row>
    <row r="17" spans="1:17" ht="15.75" customHeight="1" x14ac:dyDescent="0.2">
      <c r="A17" s="51">
        <v>13</v>
      </c>
      <c r="B17" s="52" t="s">
        <v>57</v>
      </c>
      <c r="C17" s="52" t="s">
        <v>57</v>
      </c>
      <c r="D17" s="51">
        <v>1</v>
      </c>
      <c r="E17" s="53">
        <v>483600</v>
      </c>
      <c r="F17" s="27">
        <f>ROUND($E17*(1+$S$3)^1, 0)</f>
        <v>495690</v>
      </c>
      <c r="G17" s="27">
        <f>ROUND($E17*(1+$S$3)^2, 0)</f>
        <v>508082</v>
      </c>
      <c r="H17" s="27">
        <f>ROUND($E17*(1+$S$3)^3, 0)</f>
        <v>520784</v>
      </c>
      <c r="I17" s="27">
        <f>ROUND($E17*(1+$T$3)^1, 0)</f>
        <v>499075</v>
      </c>
      <c r="J17" s="27">
        <f>ROUND($E17*(1+$T$3)^2, 0)</f>
        <v>515046</v>
      </c>
      <c r="K17" s="27">
        <f>ROUND($E17*(1+$T$3)^3, 0)</f>
        <v>531527</v>
      </c>
      <c r="L17" s="27">
        <f>ROUND($E17*(1+$U$3)^1, 0)</f>
        <v>512616</v>
      </c>
      <c r="M17" s="27">
        <f>ROUND($E17*(1+$U$3)^2, 0)</f>
        <v>543373</v>
      </c>
      <c r="N17" s="27">
        <f>ROUND($E17*(1+$U$3)^3, 0)</f>
        <v>575975</v>
      </c>
      <c r="O17" s="27">
        <f t="shared" si="0"/>
        <v>520784</v>
      </c>
      <c r="P17" s="27">
        <f t="shared" si="1"/>
        <v>531527</v>
      </c>
      <c r="Q17" s="27">
        <f t="shared" si="2"/>
        <v>575975</v>
      </c>
    </row>
    <row r="18" spans="1:17" ht="15.75" customHeight="1" x14ac:dyDescent="0.2">
      <c r="A18" s="51">
        <v>14</v>
      </c>
      <c r="B18" s="52" t="s">
        <v>58</v>
      </c>
      <c r="C18" s="52" t="s">
        <v>58</v>
      </c>
      <c r="D18" s="51">
        <v>1</v>
      </c>
      <c r="E18" s="53">
        <v>470200</v>
      </c>
      <c r="F18" s="27">
        <f>ROUND($E18*(1+$S$3)^1, 0)</f>
        <v>481955</v>
      </c>
      <c r="G18" s="27">
        <f>ROUND($E18*(1+$S$3)^2, 0)</f>
        <v>494004</v>
      </c>
      <c r="H18" s="27">
        <f>ROUND($E18*(1+$S$3)^3, 0)</f>
        <v>506354</v>
      </c>
      <c r="I18" s="27">
        <f>ROUND($E18*(1+$T$3)^1, 0)</f>
        <v>485246</v>
      </c>
      <c r="J18" s="27">
        <f>ROUND($E18*(1+$T$3)^2, 0)</f>
        <v>500774</v>
      </c>
      <c r="K18" s="27">
        <f>ROUND($E18*(1+$T$3)^3, 0)</f>
        <v>516799</v>
      </c>
      <c r="L18" s="27">
        <f>ROUND($E18*(1+$U$3)^1, 0)</f>
        <v>498412</v>
      </c>
      <c r="M18" s="27">
        <f>ROUND($E18*(1+$U$3)^2, 0)</f>
        <v>528317</v>
      </c>
      <c r="N18" s="27">
        <f>ROUND($E18*(1+$U$3)^3, 0)</f>
        <v>560016</v>
      </c>
      <c r="O18" s="27">
        <f t="shared" si="0"/>
        <v>506354</v>
      </c>
      <c r="P18" s="27">
        <f t="shared" si="1"/>
        <v>516799</v>
      </c>
      <c r="Q18" s="27">
        <f t="shared" si="2"/>
        <v>560016</v>
      </c>
    </row>
    <row r="19" spans="1:17" ht="15.75" customHeight="1" x14ac:dyDescent="0.2">
      <c r="A19" s="51">
        <v>15</v>
      </c>
      <c r="B19" s="52" t="s">
        <v>59</v>
      </c>
      <c r="C19" s="52" t="s">
        <v>59</v>
      </c>
      <c r="D19" s="51">
        <v>1</v>
      </c>
      <c r="E19" s="53">
        <v>420100</v>
      </c>
      <c r="F19" s="27">
        <f>ROUND($E19*(1+$S$3)^1, 0)</f>
        <v>430603</v>
      </c>
      <c r="G19" s="27">
        <f>ROUND($E19*(1+$S$3)^2, 0)</f>
        <v>441368</v>
      </c>
      <c r="H19" s="27">
        <f>ROUND($E19*(1+$S$3)^3, 0)</f>
        <v>452402</v>
      </c>
      <c r="I19" s="27">
        <f>ROUND($E19*(1+$T$3)^1, 0)</f>
        <v>433543</v>
      </c>
      <c r="J19" s="27">
        <f>ROUND($E19*(1+$T$3)^2, 0)</f>
        <v>447417</v>
      </c>
      <c r="K19" s="27">
        <f>ROUND($E19*(1+$T$3)^3, 0)</f>
        <v>461734</v>
      </c>
      <c r="L19" s="27">
        <f>ROUND($E19*(1+$U$3)^1, 0)</f>
        <v>445306</v>
      </c>
      <c r="M19" s="27">
        <f>ROUND($E19*(1+$U$3)^2, 0)</f>
        <v>472024</v>
      </c>
      <c r="N19" s="27">
        <f>ROUND($E19*(1+$U$3)^3, 0)</f>
        <v>500346</v>
      </c>
      <c r="O19" s="27">
        <f t="shared" si="0"/>
        <v>452402</v>
      </c>
      <c r="P19" s="27">
        <f t="shared" si="1"/>
        <v>461734</v>
      </c>
      <c r="Q19" s="27">
        <f t="shared" si="2"/>
        <v>500346</v>
      </c>
    </row>
    <row r="20" spans="1:17" ht="15.75" customHeight="1" x14ac:dyDescent="0.2">
      <c r="A20" s="28">
        <v>16</v>
      </c>
      <c r="B20" s="29" t="s">
        <v>60</v>
      </c>
      <c r="C20" s="29" t="s">
        <v>60</v>
      </c>
      <c r="D20" s="28">
        <v>1</v>
      </c>
      <c r="E20" s="30">
        <v>351900</v>
      </c>
      <c r="F20" s="50">
        <f>ROUND($E20*(1+$S$3)^1, 0)</f>
        <v>360698</v>
      </c>
      <c r="G20" s="50">
        <f>ROUND($E20*(1+$S$3)^2, 0)</f>
        <v>369715</v>
      </c>
      <c r="H20" s="50">
        <f>ROUND($E20*(1+$S$3)^3, 0)</f>
        <v>378958</v>
      </c>
      <c r="I20" s="50">
        <f>ROUND($E20*(1+$T$3)^1, 0)</f>
        <v>363161</v>
      </c>
      <c r="J20" s="50">
        <f>ROUND($E20*(1+$T$3)^2, 0)</f>
        <v>374782</v>
      </c>
      <c r="K20" s="50">
        <f>ROUND($E20*(1+$T$3)^3, 0)</f>
        <v>386775</v>
      </c>
      <c r="L20" s="50">
        <f>ROUND($E20*(1+$U$3)^1, 0)</f>
        <v>373014</v>
      </c>
      <c r="M20" s="50">
        <f>ROUND($E20*(1+$U$3)^2, 0)</f>
        <v>395395</v>
      </c>
      <c r="N20" s="50">
        <f>ROUND($E20*(1+$U$3)^3, 0)</f>
        <v>419119</v>
      </c>
      <c r="O20" s="50">
        <f t="shared" si="0"/>
        <v>378958</v>
      </c>
      <c r="P20" s="50">
        <f t="shared" si="1"/>
        <v>386775</v>
      </c>
      <c r="Q20" s="50">
        <f t="shared" si="2"/>
        <v>419119</v>
      </c>
    </row>
    <row r="21" spans="1:17" ht="15.75" customHeight="1" x14ac:dyDescent="0.2">
      <c r="A21" s="51">
        <v>17</v>
      </c>
      <c r="B21" s="52" t="s">
        <v>61</v>
      </c>
      <c r="C21" s="52" t="s">
        <v>61</v>
      </c>
      <c r="D21" s="51">
        <v>1</v>
      </c>
      <c r="E21" s="53">
        <v>330100</v>
      </c>
      <c r="F21" s="27">
        <f>ROUND($E21*(1+$S$3)^1, 0)</f>
        <v>338353</v>
      </c>
      <c r="G21" s="27">
        <f>ROUND($E21*(1+$S$3)^2, 0)</f>
        <v>346811</v>
      </c>
      <c r="H21" s="27">
        <f>ROUND($E21*(1+$S$3)^3, 0)</f>
        <v>355482</v>
      </c>
      <c r="I21" s="27">
        <f>ROUND($E21*(1+$T$3)^1, 0)</f>
        <v>340663</v>
      </c>
      <c r="J21" s="27">
        <f>ROUND($E21*(1+$T$3)^2, 0)</f>
        <v>351564</v>
      </c>
      <c r="K21" s="27">
        <f>ROUND($E21*(1+$T$3)^3, 0)</f>
        <v>362814</v>
      </c>
      <c r="L21" s="27">
        <f>ROUND($E21*(1+$U$3)^1, 0)</f>
        <v>349906</v>
      </c>
      <c r="M21" s="27">
        <f>ROUND($E21*(1+$U$3)^2, 0)</f>
        <v>370900</v>
      </c>
      <c r="N21" s="27">
        <f>ROUND($E21*(1+$U$3)^3, 0)</f>
        <v>393154</v>
      </c>
      <c r="O21" s="27">
        <f t="shared" si="0"/>
        <v>355482</v>
      </c>
      <c r="P21" s="27">
        <f t="shared" si="1"/>
        <v>362814</v>
      </c>
      <c r="Q21" s="27">
        <f t="shared" si="2"/>
        <v>393154</v>
      </c>
    </row>
    <row r="22" spans="1:17" ht="15.75" customHeight="1" x14ac:dyDescent="0.2">
      <c r="A22" s="51">
        <v>18</v>
      </c>
      <c r="B22" s="52" t="s">
        <v>62</v>
      </c>
      <c r="C22" s="52" t="s">
        <v>63</v>
      </c>
      <c r="D22" s="51">
        <v>2</v>
      </c>
      <c r="E22" s="53">
        <v>314900</v>
      </c>
      <c r="F22" s="27">
        <f>ROUND($E22*(1+$S$3)^1, 0)</f>
        <v>322773</v>
      </c>
      <c r="G22" s="27">
        <f>ROUND($E22*(1+$S$3)^2, 0)</f>
        <v>330842</v>
      </c>
      <c r="H22" s="27">
        <f>ROUND($E22*(1+$S$3)^3, 0)</f>
        <v>339113</v>
      </c>
      <c r="I22" s="27">
        <f>ROUND($E22*(1+$T$3)^1, 0)</f>
        <v>324977</v>
      </c>
      <c r="J22" s="27">
        <f>ROUND($E22*(1+$T$3)^2, 0)</f>
        <v>335376</v>
      </c>
      <c r="K22" s="27">
        <f>ROUND($E22*(1+$T$3)^3, 0)</f>
        <v>346108</v>
      </c>
      <c r="L22" s="27">
        <f>ROUND($E22*(1+$U$3)^1, 0)</f>
        <v>333794</v>
      </c>
      <c r="M22" s="27">
        <f>ROUND($E22*(1+$U$3)^2, 0)</f>
        <v>353822</v>
      </c>
      <c r="N22" s="27">
        <f>ROUND($E22*(1+$U$3)^3, 0)</f>
        <v>375051</v>
      </c>
      <c r="O22" s="27">
        <f t="shared" si="0"/>
        <v>169556.5</v>
      </c>
      <c r="P22" s="27">
        <f t="shared" si="1"/>
        <v>173054</v>
      </c>
      <c r="Q22" s="27">
        <f t="shared" si="2"/>
        <v>187525.5</v>
      </c>
    </row>
    <row r="23" spans="1:17" ht="15.75" customHeight="1" x14ac:dyDescent="0.2">
      <c r="A23" s="51">
        <v>19</v>
      </c>
      <c r="B23" s="52" t="s">
        <v>64</v>
      </c>
      <c r="C23" s="52" t="s">
        <v>64</v>
      </c>
      <c r="D23" s="51">
        <v>1</v>
      </c>
      <c r="E23" s="53">
        <v>269000</v>
      </c>
      <c r="F23" s="27">
        <f>ROUND($E23*(1+$S$3)^1, 0)</f>
        <v>275725</v>
      </c>
      <c r="G23" s="27">
        <f>ROUND($E23*(1+$S$3)^2, 0)</f>
        <v>282618</v>
      </c>
      <c r="H23" s="27">
        <f>ROUND($E23*(1+$S$3)^3, 0)</f>
        <v>289684</v>
      </c>
      <c r="I23" s="27">
        <f>ROUND($E23*(1+$T$3)^1, 0)</f>
        <v>277608</v>
      </c>
      <c r="J23" s="27">
        <f>ROUND($E23*(1+$T$3)^2, 0)</f>
        <v>286491</v>
      </c>
      <c r="K23" s="27">
        <f>ROUND($E23*(1+$T$3)^3, 0)</f>
        <v>295659</v>
      </c>
      <c r="L23" s="27">
        <f>ROUND($E23*(1+$U$3)^1, 0)</f>
        <v>285140</v>
      </c>
      <c r="M23" s="27">
        <f>ROUND($E23*(1+$U$3)^2, 0)</f>
        <v>302248</v>
      </c>
      <c r="N23" s="27">
        <f>ROUND($E23*(1+$U$3)^3, 0)</f>
        <v>320383</v>
      </c>
      <c r="O23" s="27">
        <f t="shared" si="0"/>
        <v>289684</v>
      </c>
      <c r="P23" s="27">
        <f t="shared" si="1"/>
        <v>295659</v>
      </c>
      <c r="Q23" s="27">
        <f t="shared" si="2"/>
        <v>320383</v>
      </c>
    </row>
    <row r="24" spans="1:17" ht="15.75" customHeight="1" x14ac:dyDescent="0.2">
      <c r="A24" s="51">
        <v>20</v>
      </c>
      <c r="B24" s="52" t="s">
        <v>65</v>
      </c>
      <c r="C24" s="52" t="s">
        <v>66</v>
      </c>
      <c r="D24" s="51">
        <v>1</v>
      </c>
      <c r="E24" s="53">
        <v>174400</v>
      </c>
      <c r="F24" s="27">
        <f>ROUND($E24*(1+$S$3)^1, 0)</f>
        <v>178760</v>
      </c>
      <c r="G24" s="27">
        <f>ROUND($E24*(1+$S$3)^2, 0)</f>
        <v>183229</v>
      </c>
      <c r="H24" s="27">
        <f>ROUND($E24*(1+$S$3)^3, 0)</f>
        <v>187810</v>
      </c>
      <c r="I24" s="27">
        <f>ROUND($E24*(1+$T$3)^1, 0)</f>
        <v>179981</v>
      </c>
      <c r="J24" s="27">
        <f>ROUND($E24*(1+$T$3)^2, 0)</f>
        <v>185740</v>
      </c>
      <c r="K24" s="27">
        <f>ROUND($E24*(1+$T$3)^3, 0)</f>
        <v>191684</v>
      </c>
      <c r="L24" s="27">
        <f>ROUND($E24*(1+$U$3)^1, 0)</f>
        <v>184864</v>
      </c>
      <c r="M24" s="27">
        <f>ROUND($E24*(1+$U$3)^2, 0)</f>
        <v>195956</v>
      </c>
      <c r="N24" s="27">
        <f>ROUND($E24*(1+$U$3)^3, 0)</f>
        <v>207713</v>
      </c>
      <c r="O24" s="27">
        <f t="shared" si="0"/>
        <v>187810</v>
      </c>
      <c r="P24" s="27">
        <f t="shared" si="1"/>
        <v>191684</v>
      </c>
      <c r="Q24" s="27">
        <f t="shared" si="2"/>
        <v>207713</v>
      </c>
    </row>
    <row r="25" spans="1:17" ht="18" customHeight="1" x14ac:dyDescent="0.2">
      <c r="A25" s="31"/>
      <c r="B25" s="31" t="s">
        <v>67</v>
      </c>
      <c r="C25" s="31"/>
      <c r="D25" s="31"/>
      <c r="E25" s="32">
        <f t="shared" ref="E25:N25" si="3">SUM(E5:E24)</f>
        <v>13491600</v>
      </c>
      <c r="F25" s="32">
        <f t="shared" si="3"/>
        <v>13828894</v>
      </c>
      <c r="G25" s="32">
        <f t="shared" si="3"/>
        <v>14174612</v>
      </c>
      <c r="H25" s="32">
        <f t="shared" si="3"/>
        <v>14528977</v>
      </c>
      <c r="I25" s="32">
        <f t="shared" si="3"/>
        <v>13923332</v>
      </c>
      <c r="J25" s="32">
        <f t="shared" si="3"/>
        <v>14368876</v>
      </c>
      <c r="K25" s="32">
        <f t="shared" si="3"/>
        <v>14828681</v>
      </c>
      <c r="L25" s="32">
        <f t="shared" si="3"/>
        <v>14301096</v>
      </c>
      <c r="M25" s="32">
        <f t="shared" si="3"/>
        <v>15159162</v>
      </c>
      <c r="N25" s="32">
        <f t="shared" si="3"/>
        <v>16068711</v>
      </c>
      <c r="O25" s="32"/>
      <c r="P25" s="32"/>
      <c r="Q25" s="32"/>
    </row>
    <row r="26" spans="1:17" ht="18" customHeight="1" x14ac:dyDescent="0.2">
      <c r="A26" s="33"/>
      <c r="B26" s="33" t="s">
        <v>68</v>
      </c>
      <c r="C26" s="33"/>
      <c r="D26" s="33"/>
      <c r="E26" s="34"/>
      <c r="F26" s="34"/>
      <c r="G26" s="34"/>
      <c r="H26" s="34">
        <f>H25/24</f>
        <v>605374.04166666663</v>
      </c>
      <c r="I26" s="34"/>
      <c r="J26" s="34"/>
      <c r="K26" s="34">
        <f>K25/24</f>
        <v>617861.70833333337</v>
      </c>
      <c r="L26" s="34"/>
      <c r="M26" s="34"/>
      <c r="N26" s="34">
        <f>N25/24</f>
        <v>669529.625</v>
      </c>
      <c r="O26" s="34"/>
      <c r="P26" s="34"/>
      <c r="Q26" s="34"/>
    </row>
  </sheetData>
  <mergeCells count="7">
    <mergeCell ref="S1:U1"/>
    <mergeCell ref="A1:Q1"/>
    <mergeCell ref="A2:Q2"/>
    <mergeCell ref="F3:H3"/>
    <mergeCell ref="I3:K3"/>
    <mergeCell ref="L3:N3"/>
    <mergeCell ref="O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opLeftCell="A15" zoomScaleNormal="100" workbookViewId="0">
      <selection activeCell="C31" sqref="C31"/>
    </sheetView>
  </sheetViews>
  <sheetFormatPr baseColWidth="10" defaultColWidth="8.6640625" defaultRowHeight="15" x14ac:dyDescent="0.2"/>
  <cols>
    <col min="1" max="1" width="34" customWidth="1"/>
    <col min="2" max="4" width="16" customWidth="1"/>
    <col min="5" max="5" width="45.6640625" customWidth="1"/>
    <col min="6" max="6" width="32.6640625" style="59" bestFit="1" customWidth="1"/>
  </cols>
  <sheetData>
    <row r="1" spans="1:6" ht="27.75" customHeight="1" x14ac:dyDescent="0.2">
      <c r="A1" s="6" t="s">
        <v>69</v>
      </c>
      <c r="B1" s="6"/>
      <c r="C1" s="6"/>
      <c r="D1" s="6"/>
      <c r="E1" s="6"/>
      <c r="F1" s="6"/>
    </row>
    <row r="2" spans="1:6" ht="27.75" customHeight="1" x14ac:dyDescent="0.2">
      <c r="A2" s="69" t="s">
        <v>101</v>
      </c>
      <c r="B2" s="69"/>
      <c r="C2" s="69"/>
      <c r="D2" s="69"/>
      <c r="E2" s="69"/>
      <c r="F2" s="69"/>
    </row>
    <row r="3" spans="1:6" ht="19.5" customHeight="1" x14ac:dyDescent="0.2">
      <c r="A3" s="2" t="s">
        <v>70</v>
      </c>
      <c r="B3" s="70"/>
      <c r="C3" s="70"/>
      <c r="D3" s="70"/>
      <c r="E3" s="70"/>
    </row>
    <row r="4" spans="1:6" ht="18" customHeight="1" x14ac:dyDescent="0.2">
      <c r="A4" s="10" t="s">
        <v>71</v>
      </c>
      <c r="B4" s="10" t="s">
        <v>102</v>
      </c>
      <c r="C4" s="10" t="s">
        <v>103</v>
      </c>
      <c r="D4" s="10" t="s">
        <v>104</v>
      </c>
      <c r="E4" s="10" t="s">
        <v>9</v>
      </c>
    </row>
    <row r="5" spans="1:6" ht="15.75" customHeight="1" x14ac:dyDescent="0.2">
      <c r="A5" s="68">
        <v>2022</v>
      </c>
      <c r="B5" s="67">
        <v>351900</v>
      </c>
      <c r="C5" s="67">
        <v>351900</v>
      </c>
      <c r="D5" s="67">
        <v>351900</v>
      </c>
      <c r="E5" s="68" t="s">
        <v>10</v>
      </c>
    </row>
    <row r="6" spans="1:6" ht="15.75" customHeight="1" x14ac:dyDescent="0.2">
      <c r="A6" s="37">
        <v>2023</v>
      </c>
      <c r="B6" s="38">
        <f>'LGA Projections'!F$20</f>
        <v>360698</v>
      </c>
      <c r="C6" s="38">
        <f>'LGA Projections'!I$20</f>
        <v>363161</v>
      </c>
      <c r="D6" s="38">
        <f>'LGA Projections'!L$20</f>
        <v>373014</v>
      </c>
      <c r="E6" s="37" t="s">
        <v>72</v>
      </c>
    </row>
    <row r="7" spans="1:6" ht="15.75" customHeight="1" x14ac:dyDescent="0.2">
      <c r="A7" s="35">
        <v>2024</v>
      </c>
      <c r="B7" s="67">
        <f>'LGA Projections'!G$20</f>
        <v>369715</v>
      </c>
      <c r="C7" s="67">
        <f>'LGA Projections'!J$20</f>
        <v>374782</v>
      </c>
      <c r="D7" s="67">
        <f>'LGA Projections'!M$20</f>
        <v>395395</v>
      </c>
      <c r="E7" s="35" t="s">
        <v>73</v>
      </c>
    </row>
    <row r="8" spans="1:6" x14ac:dyDescent="0.2">
      <c r="A8" s="54">
        <v>2025</v>
      </c>
      <c r="B8" s="55">
        <f>'LGA Projections'!H$20</f>
        <v>378958</v>
      </c>
      <c r="C8" s="55">
        <f>'LGA Projections'!K$20</f>
        <v>386775</v>
      </c>
      <c r="D8" s="55">
        <f>'LGA Projections'!N$20</f>
        <v>419119</v>
      </c>
      <c r="E8" s="54" t="s">
        <v>105</v>
      </c>
    </row>
    <row r="10" spans="1:6" ht="19.5" customHeight="1" x14ac:dyDescent="0.2">
      <c r="A10" s="1" t="s">
        <v>74</v>
      </c>
      <c r="B10" s="1"/>
      <c r="C10" s="1"/>
      <c r="D10" s="1"/>
      <c r="E10" s="1"/>
    </row>
    <row r="11" spans="1:6" x14ac:dyDescent="0.2">
      <c r="A11" s="10" t="s">
        <v>75</v>
      </c>
      <c r="B11" s="10" t="s">
        <v>76</v>
      </c>
      <c r="C11" s="10" t="s">
        <v>77</v>
      </c>
      <c r="D11" s="10" t="s">
        <v>78</v>
      </c>
      <c r="E11" s="10" t="s">
        <v>79</v>
      </c>
    </row>
    <row r="12" spans="1:6" ht="30" customHeight="1" x14ac:dyDescent="0.2">
      <c r="A12" s="35" t="s">
        <v>80</v>
      </c>
      <c r="B12" s="41">
        <v>378958</v>
      </c>
      <c r="C12" s="41">
        <v>386775</v>
      </c>
      <c r="D12" s="41">
        <v>419119</v>
      </c>
      <c r="E12" s="20" t="s">
        <v>81</v>
      </c>
    </row>
    <row r="13" spans="1:6" ht="30" customHeight="1" x14ac:dyDescent="0.2">
      <c r="A13" s="37" t="s">
        <v>82</v>
      </c>
      <c r="B13" s="56">
        <v>605374.04166666663</v>
      </c>
      <c r="C13" s="56">
        <v>617861.70833333337</v>
      </c>
      <c r="D13" s="42">
        <v>669530</v>
      </c>
      <c r="E13" s="37" t="s">
        <v>83</v>
      </c>
    </row>
    <row r="14" spans="1:6" ht="28" x14ac:dyDescent="0.2">
      <c r="A14" s="35" t="s">
        <v>84</v>
      </c>
      <c r="B14" s="66">
        <f>B12/B13</f>
        <v>0.62598984085390186</v>
      </c>
      <c r="C14" s="66">
        <f>C12/C13</f>
        <v>0.62598959408459853</v>
      </c>
      <c r="D14" s="66">
        <f>D12/D13</f>
        <v>0.62598987349334612</v>
      </c>
      <c r="E14" s="20" t="s">
        <v>107</v>
      </c>
    </row>
    <row r="16" spans="1:6" ht="19.5" customHeight="1" x14ac:dyDescent="0.2">
      <c r="A16" s="57" t="s">
        <v>106</v>
      </c>
      <c r="B16" s="58"/>
      <c r="C16" s="58"/>
      <c r="D16" s="58"/>
      <c r="E16" s="58"/>
      <c r="F16" s="58"/>
    </row>
    <row r="17" spans="1:6" x14ac:dyDescent="0.2">
      <c r="A17" s="10" t="s">
        <v>85</v>
      </c>
      <c r="B17" s="10" t="s">
        <v>86</v>
      </c>
      <c r="C17" s="10" t="s">
        <v>87</v>
      </c>
      <c r="D17" s="10" t="s">
        <v>88</v>
      </c>
      <c r="E17" s="10" t="s">
        <v>89</v>
      </c>
      <c r="F17" s="60" t="s">
        <v>79</v>
      </c>
    </row>
    <row r="18" spans="1:6" ht="30" customHeight="1" x14ac:dyDescent="0.2">
      <c r="A18" s="37" t="s">
        <v>40</v>
      </c>
      <c r="B18" s="37" t="s">
        <v>40</v>
      </c>
      <c r="C18" s="38">
        <v>184</v>
      </c>
      <c r="D18" s="64">
        <v>2147101</v>
      </c>
      <c r="E18" s="38">
        <f>D18/C18</f>
        <v>11669.027173913044</v>
      </c>
      <c r="F18" s="71" t="s">
        <v>108</v>
      </c>
    </row>
    <row r="19" spans="1:6" ht="30" customHeight="1" x14ac:dyDescent="0.2">
      <c r="A19" s="35" t="s">
        <v>48</v>
      </c>
      <c r="B19" s="35" t="s">
        <v>48</v>
      </c>
      <c r="C19" s="36">
        <v>394</v>
      </c>
      <c r="D19" s="65">
        <v>858950</v>
      </c>
      <c r="E19" s="36">
        <f>D19/C19</f>
        <v>2180.0761421319799</v>
      </c>
      <c r="F19" s="72"/>
    </row>
    <row r="20" spans="1:6" ht="30" customHeight="1" x14ac:dyDescent="0.2">
      <c r="A20" s="39" t="s">
        <v>60</v>
      </c>
      <c r="B20" s="39" t="s">
        <v>60</v>
      </c>
      <c r="C20" s="40">
        <v>441</v>
      </c>
      <c r="D20" s="74">
        <v>386775</v>
      </c>
      <c r="E20" s="40">
        <f>D20/C20</f>
        <v>877.0408163265306</v>
      </c>
      <c r="F20" s="73" t="s">
        <v>120</v>
      </c>
    </row>
    <row r="21" spans="1:6" ht="30" customHeight="1" x14ac:dyDescent="0.2">
      <c r="A21" s="35" t="s">
        <v>90</v>
      </c>
      <c r="B21" s="35" t="s">
        <v>49</v>
      </c>
      <c r="C21" s="36">
        <v>23</v>
      </c>
      <c r="D21" s="65">
        <v>409087</v>
      </c>
      <c r="E21" s="36">
        <f>D21/C21</f>
        <v>17786.391304347828</v>
      </c>
      <c r="F21" s="72" t="s">
        <v>115</v>
      </c>
    </row>
    <row r="22" spans="1:6" ht="30" customHeight="1" x14ac:dyDescent="0.2">
      <c r="A22" s="37" t="s">
        <v>91</v>
      </c>
      <c r="B22" s="37" t="s">
        <v>62</v>
      </c>
      <c r="C22" s="38">
        <v>9.3000000000000007</v>
      </c>
      <c r="D22" s="64">
        <v>173054</v>
      </c>
      <c r="E22" s="38">
        <f>D22/C22</f>
        <v>18607.956989247312</v>
      </c>
      <c r="F22" s="71" t="s">
        <v>111</v>
      </c>
    </row>
    <row r="23" spans="1:6" ht="30" customHeight="1" x14ac:dyDescent="0.2">
      <c r="A23" s="35" t="s">
        <v>64</v>
      </c>
      <c r="B23" s="35" t="s">
        <v>64</v>
      </c>
      <c r="C23" s="36">
        <v>965</v>
      </c>
      <c r="D23" s="65">
        <v>295659</v>
      </c>
      <c r="E23" s="36">
        <f>D23/C23</f>
        <v>306.38238341968912</v>
      </c>
      <c r="F23" s="72" t="s">
        <v>114</v>
      </c>
    </row>
    <row r="24" spans="1:6" ht="32" x14ac:dyDescent="0.2">
      <c r="A24" s="37" t="s">
        <v>109</v>
      </c>
      <c r="B24" s="37" t="s">
        <v>43</v>
      </c>
      <c r="C24" s="38">
        <v>17.010000000000002</v>
      </c>
      <c r="D24" s="64">
        <v>514051.5</v>
      </c>
      <c r="E24" s="38">
        <f>D24/C24</f>
        <v>30220.546737213401</v>
      </c>
      <c r="F24" s="71" t="s">
        <v>113</v>
      </c>
    </row>
    <row r="25" spans="1:6" ht="32" x14ac:dyDescent="0.2">
      <c r="A25" s="35" t="s">
        <v>110</v>
      </c>
      <c r="B25" s="35" t="s">
        <v>45</v>
      </c>
      <c r="C25" s="36">
        <v>54</v>
      </c>
      <c r="D25" s="65">
        <v>511798</v>
      </c>
      <c r="E25" s="36">
        <f>D25/C25</f>
        <v>9477.7407407407409</v>
      </c>
      <c r="F25" s="72" t="s">
        <v>112</v>
      </c>
    </row>
  </sheetData>
  <mergeCells count="5">
    <mergeCell ref="A3:E3"/>
    <mergeCell ref="A10:E10"/>
    <mergeCell ref="A16:F16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LGA Projections</vt:lpstr>
      <vt:lpstr>Badagry Focus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Jarret Angbazo</cp:lastModifiedBy>
  <cp:revision>1</cp:revision>
  <dcterms:created xsi:type="dcterms:W3CDTF">2026-05-05T11:25:54Z</dcterms:created>
  <dcterms:modified xsi:type="dcterms:W3CDTF">2026-05-05T13:51:09Z</dcterms:modified>
  <dc:language>en-US</dc:language>
</cp:coreProperties>
</file>